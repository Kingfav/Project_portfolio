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FFA2D3D-5737-4825-AE9B-F22B32CB4E04}" xr6:coauthVersionLast="47" xr6:coauthVersionMax="47" xr10:uidLastSave="{00000000-0000-0000-0000-000000000000}"/>
  <bookViews>
    <workbookView xWindow="770" yWindow="840" windowWidth="18430" windowHeight="9360" activeTab="1" xr2:uid="{15F14276-BF8D-4703-AEE8-A5703B78D2AF}"/>
  </bookViews>
  <sheets>
    <sheet name="Sheet1" sheetId="1" r:id="rId1"/>
    <sheet name="Sheet3 (2)" sheetId="8" r:id="rId2"/>
    <sheet name="Sheet4" sheetId="4" r:id="rId3"/>
    <sheet name="Record of Receipt" sheetId="5" r:id="rId4"/>
  </sheets>
  <definedNames>
    <definedName name="_xlnm.Print_Area" localSheetId="0">Sheet1!$A$1:$K$23</definedName>
    <definedName name="_xlnm.Print_Area" localSheetId="1">'Sheet3 (2)'!$A$1:$E$31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8" l="1"/>
  <c r="A11" i="8"/>
  <c r="A12" i="8"/>
  <c r="E17" i="8"/>
  <c r="E18" i="8"/>
  <c r="E19" i="8"/>
  <c r="E20" i="8"/>
  <c r="E21" i="8"/>
  <c r="E22" i="8"/>
  <c r="E23" i="8"/>
  <c r="E24" i="8"/>
  <c r="E16" i="8"/>
  <c r="H24" i="8"/>
  <c r="H23" i="8"/>
  <c r="H22" i="8"/>
  <c r="H21" i="8"/>
  <c r="H20" i="8"/>
  <c r="E12" i="8"/>
  <c r="E26" i="8" l="1"/>
  <c r="E28" i="8" s="1"/>
  <c r="E30" i="8" s="1"/>
</calcChain>
</file>

<file path=xl/sharedStrings.xml><?xml version="1.0" encoding="utf-8"?>
<sst xmlns="http://schemas.openxmlformats.org/spreadsheetml/2006/main" count="73" uniqueCount="61">
  <si>
    <t>EASY-POWER &amp; ASSOCIATE NIG. ESTATE &amp; PROPERTY MANGEMENT</t>
  </si>
  <si>
    <t>HOUSES &amp; ELECTRONICS ASLO GEN,   CONTRACTOR</t>
  </si>
  <si>
    <t>ADDRESS:</t>
  </si>
  <si>
    <t>Romi Bus-Stop Kaduna</t>
  </si>
  <si>
    <t>No. 17 Galadima</t>
  </si>
  <si>
    <t>Gonin Gora, Kaduna.</t>
  </si>
  <si>
    <t>₦</t>
  </si>
  <si>
    <t>:             K</t>
  </si>
  <si>
    <t xml:space="preserve">        No</t>
  </si>
  <si>
    <t xml:space="preserve">    TEL :</t>
  </si>
  <si>
    <r>
      <rPr>
        <b/>
        <sz val="11"/>
        <color theme="3"/>
        <rFont val="Calibri"/>
        <family val="2"/>
        <scheme val="minor"/>
      </rPr>
      <t>Date</t>
    </r>
    <r>
      <rPr>
        <sz val="11"/>
        <rFont val="Calibri"/>
        <family val="2"/>
        <scheme val="minor"/>
      </rPr>
      <t>________________</t>
    </r>
  </si>
  <si>
    <r>
      <rPr>
        <b/>
        <sz val="11"/>
        <color theme="3"/>
        <rFont val="Calibri"/>
        <family val="2"/>
        <scheme val="minor"/>
      </rPr>
      <t>The Sum Of</t>
    </r>
    <r>
      <rPr>
        <sz val="11"/>
        <color theme="1"/>
        <rFont val="Calibri"/>
        <family val="2"/>
        <scheme val="minor"/>
      </rPr>
      <t xml:space="preserve"> ______________________________________________________________________________</t>
    </r>
  </si>
  <si>
    <r>
      <rPr>
        <b/>
        <sz val="11"/>
        <color theme="3"/>
        <rFont val="Calibri"/>
        <family val="2"/>
        <scheme val="minor"/>
      </rPr>
      <t>Received from</t>
    </r>
    <r>
      <rPr>
        <sz val="11"/>
        <color theme="1"/>
        <rFont val="Calibri"/>
        <family val="2"/>
        <scheme val="minor"/>
      </rPr>
      <t xml:space="preserve"> ____________________________________________________________________________</t>
    </r>
  </si>
  <si>
    <r>
      <t>_______________________________</t>
    </r>
    <r>
      <rPr>
        <b/>
        <sz val="11"/>
        <color theme="3"/>
        <rFont val="Calibri"/>
        <family val="2"/>
        <scheme val="minor"/>
      </rPr>
      <t>Naira</t>
    </r>
    <r>
      <rPr>
        <sz val="11"/>
        <color theme="1"/>
        <rFont val="Calibri"/>
        <family val="2"/>
        <scheme val="minor"/>
      </rPr>
      <t>________________________________________________</t>
    </r>
    <r>
      <rPr>
        <b/>
        <sz val="11"/>
        <color theme="3"/>
        <rFont val="Calibri"/>
        <family val="2"/>
        <scheme val="minor"/>
      </rPr>
      <t>Kobo</t>
    </r>
  </si>
  <si>
    <r>
      <rPr>
        <b/>
        <sz val="11"/>
        <color theme="3"/>
        <rFont val="Calibri"/>
        <family val="2"/>
        <scheme val="minor"/>
      </rPr>
      <t>Being Payment</t>
    </r>
    <r>
      <rPr>
        <sz val="11"/>
        <color theme="1"/>
        <rFont val="Calibri"/>
        <family val="2"/>
        <scheme val="minor"/>
      </rPr>
      <t xml:space="preserve"> ___________________________________________________________________________</t>
    </r>
  </si>
  <si>
    <r>
      <rPr>
        <b/>
        <sz val="11"/>
        <color theme="3"/>
        <rFont val="Calibri"/>
        <family val="2"/>
        <scheme val="minor"/>
      </rPr>
      <t>Cheque No</t>
    </r>
    <r>
      <rPr>
        <sz val="11"/>
        <color theme="1"/>
        <rFont val="Calibri"/>
        <family val="2"/>
        <scheme val="minor"/>
      </rPr>
      <t xml:space="preserve"> __________</t>
    </r>
  </si>
  <si>
    <t xml:space="preserve">       Authorised Signature</t>
  </si>
  <si>
    <t xml:space="preserve">        CASH RECEIPT</t>
  </si>
  <si>
    <t>WE BUILD, RENOVATE HOUSES, SELL PLOTS,</t>
  </si>
  <si>
    <t>Receipt No</t>
  </si>
  <si>
    <t>1234 company St,</t>
  </si>
  <si>
    <t>Your Company Inc,</t>
  </si>
  <si>
    <t>Company Town, ST 12345</t>
  </si>
  <si>
    <t>Upload Logo</t>
  </si>
  <si>
    <t xml:space="preserve">    RECEIPT</t>
  </si>
  <si>
    <t>BUSINESS</t>
  </si>
  <si>
    <t>Billed To</t>
  </si>
  <si>
    <t>Customer Name</t>
  </si>
  <si>
    <t>Receipt #</t>
  </si>
  <si>
    <t>QTY</t>
  </si>
  <si>
    <t>Description</t>
  </si>
  <si>
    <t xml:space="preserve">         Receipt Date</t>
  </si>
  <si>
    <t>Unit Price</t>
  </si>
  <si>
    <t>Amount</t>
  </si>
  <si>
    <t>Subtotal</t>
  </si>
  <si>
    <t>Sub Tax(5%)</t>
  </si>
  <si>
    <t>Total(USD)</t>
  </si>
  <si>
    <t>Adrdress 2</t>
  </si>
  <si>
    <t>Contact</t>
  </si>
  <si>
    <t>2345 West street</t>
  </si>
  <si>
    <t>211 North st</t>
  </si>
  <si>
    <t>899 South street</t>
  </si>
  <si>
    <t>Info@John Co</t>
  </si>
  <si>
    <t>info@Dunes Ltd</t>
  </si>
  <si>
    <t>GemsINC@gmail.com</t>
  </si>
  <si>
    <t>John Bush</t>
  </si>
  <si>
    <t>Gems inko</t>
  </si>
  <si>
    <t>Sandra Jame</t>
  </si>
  <si>
    <t>Address 1</t>
  </si>
  <si>
    <t>London UK SE11N</t>
  </si>
  <si>
    <t>NewYork NY 2252</t>
  </si>
  <si>
    <t>San Franciso CA 7</t>
  </si>
  <si>
    <t xml:space="preserve"> </t>
  </si>
  <si>
    <t>Date Issued</t>
  </si>
  <si>
    <t>Paid</t>
  </si>
  <si>
    <t>SaveAsPdf</t>
  </si>
  <si>
    <t xml:space="preserve">SaveAsExcel </t>
  </si>
  <si>
    <t>Email</t>
  </si>
  <si>
    <t>Time stamp</t>
  </si>
  <si>
    <t>C:\Users\USER\Documents\soft\New folder\132 - Sandra Jame.xlsx</t>
  </si>
  <si>
    <t>C:\Users\USER\Documents\soft\New folder\132 - Gems inko.PDF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</si>
</sst>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4" tint="-0.499984740745262"/>
      <name val="Arial Black"/>
      <family val="2"/>
    </font>
    <font>
      <sz val="10"/>
      <color theme="4" tint="-0.499984740745262"/>
      <name val="Arial Black"/>
      <family val="2"/>
    </font>
    <font>
      <sz val="11"/>
      <color theme="4" tint="-0.499984740745262"/>
      <name val="Calibri"/>
      <family val="2"/>
    </font>
    <font>
      <sz val="11"/>
      <color theme="0"/>
      <name val="Arial Black"/>
      <family val="2"/>
    </font>
    <font>
      <b/>
      <sz val="11"/>
      <color theme="8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4" tint="-0.499984740745262"/>
      <name val="Arial Black"/>
      <family val="2"/>
    </font>
    <font>
      <b/>
      <sz val="11"/>
      <color theme="4" tint="-0.499984740745262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44" fontId="9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46">
    <xf numFmtId="0" fontId="0" fillId="0" borderId="0" xfId="0"/>
    <xf numFmtId="0" fontId="4" fillId="0" borderId="0" xfId="0" applyFont="1"/>
    <xf numFmtId="0" fontId="5" fillId="0" borderId="1" xfId="0" applyFont="1" applyBorder="1"/>
    <xf numFmtId="0" fontId="2" fillId="0" borderId="2" xfId="0" applyFont="1" applyBorder="1"/>
    <xf numFmtId="0" fontId="0" fillId="0" borderId="3" xfId="0" applyBorder="1"/>
    <xf numFmtId="0" fontId="1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14" fillId="0" borderId="0" xfId="0" applyFont="1"/>
    <xf numFmtId="14" fontId="0" fillId="0" borderId="0" xfId="0" applyNumberFormat="1"/>
    <xf numFmtId="0" fontId="10" fillId="4" borderId="0" xfId="0" applyFont="1" applyFill="1"/>
    <xf numFmtId="44" fontId="0" fillId="0" borderId="0" xfId="1" applyFont="1"/>
    <xf numFmtId="44" fontId="0" fillId="5" borderId="9" xfId="1" applyFont="1" applyFill="1" applyBorder="1"/>
    <xf numFmtId="0" fontId="10" fillId="6" borderId="0" xfId="0" applyFont="1" applyFill="1"/>
    <xf numFmtId="0" fontId="16" fillId="0" borderId="0" xfId="2"/>
    <xf numFmtId="7" fontId="0" fillId="0" borderId="0" xfId="0" applyNumberFormat="1"/>
    <xf numFmtId="0" fontId="0" fillId="0" borderId="10" xfId="0" applyBorder="1"/>
    <xf numFmtId="0" fontId="0" fillId="0" borderId="11" xfId="0" applyBorder="1"/>
    <xf numFmtId="44" fontId="0" fillId="0" borderId="12" xfId="1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0" fillId="3" borderId="0" xfId="0" applyFont="1" applyFill="1"/>
    <xf numFmtId="44" fontId="0" fillId="0" borderId="0" xfId="1" applyFont="1" applyBorder="1"/>
    <xf numFmtId="44" fontId="0" fillId="0" borderId="0" xfId="0" applyNumberFormat="1"/>
    <xf numFmtId="0" fontId="18" fillId="0" borderId="7" xfId="0" applyFont="1" applyBorder="1"/>
    <xf numFmtId="44" fontId="0" fillId="3" borderId="0" xfId="1" applyFont="1" applyFill="1" applyBorder="1"/>
    <xf numFmtId="0" fontId="7" fillId="3" borderId="0" xfId="0" applyFont="1" applyFill="1"/>
    <xf numFmtId="0" fontId="8" fillId="3" borderId="0" xfId="0" applyFont="1" applyFill="1"/>
    <xf numFmtId="0" fontId="1" fillId="0" borderId="0" xfId="0" applyFont="1"/>
    <xf numFmtId="0" fontId="0" fillId="0" borderId="3" xfId="0" applyBorder="1"/>
    <xf numFmtId="0" fontId="0" fillId="0" borderId="0" xfId="0"/>
    <xf numFmtId="0" fontId="0" fillId="3" borderId="0" xfId="0" applyFill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6" fillId="2" borderId="0" xfId="0" applyFont="1" applyFill="1"/>
    <xf numFmtId="0" fontId="11" fillId="0" borderId="0" xfId="0" applyFont="1"/>
    <xf numFmtId="0" fontId="0" fillId="5" borderId="9" xfId="0" applyFill="1" applyBorder="1"/>
    <xf numFmtId="0" fontId="13" fillId="0" borderId="0" xfId="0" applyFont="1"/>
    <xf numFmtId="0" fontId="14" fillId="0" borderId="0" xfId="0" applyFont="1"/>
    <xf numFmtId="0" fontId="12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241300</xdr:colOff>
      <xdr:row>3</xdr:row>
      <xdr:rowOff>107950</xdr:rowOff>
    </xdr:from>
    <xdr:to>
      <xdr:col>8</xdr:col>
      <xdr:colOff>581914</xdr:colOff>
      <xdr:row>5</xdr:row>
      <xdr:rowOff>158750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6A8F033-BA55-1573-32DF-92BF16E0A0FD}"/>
            </a:ext>
          </a:extLst>
        </xdr:cNvPr>
        <xdr:cNvGrpSpPr/>
      </xdr:nvGrpSpPr>
      <xdr:grpSpPr>
        <a:xfrm>
          <a:off x="5424488" y="727075"/>
          <a:ext cx="1658239" cy="415925"/>
          <a:chOff x="5430541" y="722467"/>
          <a:chExt cx="1651580" cy="41951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8" name="Button 8" hidden="1">
                <a:extLst>
                  <a:ext uri="{63B3BB69-23CF-44E3-9099-C40C66FF867C}">
                    <a14:compatExt spid="_x0000_s10248"/>
                  </a:ext>
                  <a:ext uri="{FF2B5EF4-FFF2-40B4-BE49-F238E27FC236}">
                    <a16:creationId xmlns:a16="http://schemas.microsoft.com/office/drawing/2014/main" id="{00000000-0008-0000-0200-000008280000}"/>
                  </a:ext>
                </a:extLst>
              </xdr:cNvPr>
              <xdr:cNvSpPr/>
            </xdr:nvSpPr>
            <xdr:spPr bwMode="auto">
              <a:xfrm>
                <a:off x="5430541" y="722467"/>
                <a:ext cx="1651580" cy="4195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to Record</a:t>
                </a:r>
              </a:p>
            </xdr:txBody>
          </xdr:sp>
        </mc:Choice>
        <mc:Fallback/>
      </mc:AlternateContent>
      <xdr:pic>
        <xdr:nvPicPr>
          <xdr:cNvPr id="3" name="Picture 2">
            <a:extLst>
              <a:ext uri="{FF2B5EF4-FFF2-40B4-BE49-F238E27FC236}">
                <a16:creationId xmlns:a16="http://schemas.microsoft.com/office/drawing/2014/main" id="{9FB64F18-A35A-3361-3495-8B9765CDB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95016" y="815190"/>
            <a:ext cx="274320" cy="27462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241300</xdr:colOff>
      <xdr:row>6</xdr:row>
      <xdr:rowOff>215900</xdr:rowOff>
    </xdr:from>
    <xdr:to>
      <xdr:col>8</xdr:col>
      <xdr:colOff>581914</xdr:colOff>
      <xdr:row>8</xdr:row>
      <xdr:rowOff>76200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EB8BE0A-984D-7C23-7BE9-958223464EE5}"/>
            </a:ext>
          </a:extLst>
        </xdr:cNvPr>
        <xdr:cNvGrpSpPr/>
      </xdr:nvGrpSpPr>
      <xdr:grpSpPr>
        <a:xfrm>
          <a:off x="5424488" y="1382713"/>
          <a:ext cx="1658239" cy="415925"/>
          <a:chOff x="5430541" y="1383478"/>
          <a:chExt cx="1651580" cy="42019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4" name="Button 4" hidden="1">
                <a:extLst>
                  <a:ext uri="{63B3BB69-23CF-44E3-9099-C40C66FF867C}">
                    <a14:compatExt spid="_x0000_s10244"/>
                  </a:ext>
                  <a:ext uri="{FF2B5EF4-FFF2-40B4-BE49-F238E27FC236}">
                    <a16:creationId xmlns:a16="http://schemas.microsoft.com/office/drawing/2014/main" id="{00000000-0008-0000-0200-000004280000}"/>
                  </a:ext>
                </a:extLst>
              </xdr:cNvPr>
              <xdr:cNvSpPr/>
            </xdr:nvSpPr>
            <xdr:spPr bwMode="auto">
              <a:xfrm>
                <a:off x="5430541" y="1383478"/>
                <a:ext cx="1651580" cy="42019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Start New Receipt</a:t>
                </a:r>
              </a:p>
            </xdr:txBody>
          </xdr:sp>
        </mc:Choice>
        <mc:Fallback/>
      </mc:AlternateContent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6A1B3A5B-53E1-920D-CF36-8B303A0087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98499" y="1489862"/>
            <a:ext cx="274320" cy="25450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241300</xdr:colOff>
      <xdr:row>9</xdr:row>
      <xdr:rowOff>127000</xdr:rowOff>
    </xdr:from>
    <xdr:to>
      <xdr:col>8</xdr:col>
      <xdr:colOff>581914</xdr:colOff>
      <xdr:row>11</xdr:row>
      <xdr:rowOff>177800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0AF90BF-AD6C-6963-9D85-9AA646A54454}"/>
            </a:ext>
          </a:extLst>
        </xdr:cNvPr>
        <xdr:cNvGrpSpPr/>
      </xdr:nvGrpSpPr>
      <xdr:grpSpPr>
        <a:xfrm>
          <a:off x="5424488" y="2032000"/>
          <a:ext cx="1658239" cy="415925"/>
          <a:chOff x="5430542" y="2038829"/>
          <a:chExt cx="1651580" cy="41951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6" name="Button 6" hidden="1">
                <a:extLst>
                  <a:ext uri="{63B3BB69-23CF-44E3-9099-C40C66FF867C}">
                    <a14:compatExt spid="_x0000_s10246"/>
                  </a:ext>
                  <a:ext uri="{FF2B5EF4-FFF2-40B4-BE49-F238E27FC236}">
                    <a16:creationId xmlns:a16="http://schemas.microsoft.com/office/drawing/2014/main" id="{00000000-0008-0000-0200-000006280000}"/>
                  </a:ext>
                </a:extLst>
              </xdr:cNvPr>
              <xdr:cNvSpPr/>
            </xdr:nvSpPr>
            <xdr:spPr bwMode="auto">
              <a:xfrm>
                <a:off x="5430542" y="2038829"/>
                <a:ext cx="1651580" cy="4195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as xlsx</a:t>
                </a:r>
              </a:p>
            </xdr:txBody>
          </xdr:sp>
        </mc:Choice>
        <mc:Fallback/>
      </mc:AlternateContent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4EB72E34-5F60-B490-C2F9-E3DE8DA340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86754" y="2119808"/>
            <a:ext cx="318729" cy="27462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241300</xdr:colOff>
      <xdr:row>13</xdr:row>
      <xdr:rowOff>50800</xdr:rowOff>
    </xdr:from>
    <xdr:to>
      <xdr:col>8</xdr:col>
      <xdr:colOff>581914</xdr:colOff>
      <xdr:row>15</xdr:row>
      <xdr:rowOff>101600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D88AC7E-88DF-B394-CE73-D08B2F5FA098}"/>
            </a:ext>
          </a:extLst>
        </xdr:cNvPr>
        <xdr:cNvGrpSpPr/>
      </xdr:nvGrpSpPr>
      <xdr:grpSpPr>
        <a:xfrm>
          <a:off x="5424488" y="2686050"/>
          <a:ext cx="1658239" cy="415925"/>
          <a:chOff x="5430551" y="2700043"/>
          <a:chExt cx="1651583" cy="41950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7" name="Button 7" hidden="1">
                <a:extLst>
                  <a:ext uri="{63B3BB69-23CF-44E3-9099-C40C66FF867C}">
                    <a14:compatExt spid="_x0000_s10247"/>
                  </a:ext>
                  <a:ext uri="{FF2B5EF4-FFF2-40B4-BE49-F238E27FC236}">
                    <a16:creationId xmlns:a16="http://schemas.microsoft.com/office/drawing/2014/main" id="{00000000-0008-0000-0200-000007280000}"/>
                  </a:ext>
                </a:extLst>
              </xdr:cNvPr>
              <xdr:cNvSpPr/>
            </xdr:nvSpPr>
            <xdr:spPr bwMode="auto">
              <a:xfrm>
                <a:off x="5430551" y="2700043"/>
                <a:ext cx="1651583" cy="4195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910DDD7D-11B0-738B-497E-853324D203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50089" y="2735621"/>
            <a:ext cx="365760" cy="36608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234950</xdr:colOff>
      <xdr:row>16</xdr:row>
      <xdr:rowOff>152400</xdr:rowOff>
    </xdr:from>
    <xdr:to>
      <xdr:col>8</xdr:col>
      <xdr:colOff>571500</xdr:colOff>
      <xdr:row>19</xdr:row>
      <xdr:rowOff>19050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904C4984-3830-D8C5-EF8B-CF5CF671C96A}"/>
            </a:ext>
          </a:extLst>
        </xdr:cNvPr>
        <xdr:cNvGrpSpPr/>
      </xdr:nvGrpSpPr>
      <xdr:grpSpPr>
        <a:xfrm>
          <a:off x="5418138" y="3335338"/>
          <a:ext cx="1654175" cy="414337"/>
          <a:chOff x="5424195" y="3354713"/>
          <a:chExt cx="1647518" cy="41971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0" name="Button 10" hidden="1">
                <a:extLst>
                  <a:ext uri="{63B3BB69-23CF-44E3-9099-C40C66FF867C}">
                    <a14:compatExt spid="_x0000_s10250"/>
                  </a:ext>
                  <a:ext uri="{FF2B5EF4-FFF2-40B4-BE49-F238E27FC236}">
                    <a16:creationId xmlns:a16="http://schemas.microsoft.com/office/drawing/2014/main" id="{00000000-0008-0000-0200-00000A280000}"/>
                  </a:ext>
                </a:extLst>
              </xdr:cNvPr>
              <xdr:cNvSpPr/>
            </xdr:nvSpPr>
            <xdr:spPr bwMode="auto">
              <a:xfrm>
                <a:off x="5424195" y="3354713"/>
                <a:ext cx="1647518" cy="4197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Email as PDF</a:t>
                </a:r>
              </a:p>
            </xdr:txBody>
          </xdr:sp>
        </mc:Choice>
        <mc:Fallback/>
      </mc:AlternateContent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19BA18A7-AF36-9831-9183-09341AD99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24211" y="3418076"/>
            <a:ext cx="365760" cy="28950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7A83E21-6B92-4713-9B7D-1DD1D9CF9F74}">
  <we:reference id="wa104379190" version="2.0.0.0" store="en-US" storeType="OMEX"/>
  <we:alternateReferences>
    <we:reference id="wa104379190" version="2.0.0.0" store="wa104379190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emsINC@gmail.com" TargetMode="External"/><Relationship Id="rId2" Type="http://schemas.openxmlformats.org/officeDocument/2006/relationships/hyperlink" Target="mailto:info@Dunes%20Ltd" TargetMode="External"/><Relationship Id="rId1" Type="http://schemas.openxmlformats.org/officeDocument/2006/relationships/hyperlink" Target="mailto:Info@John%20Co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Documents/soft/New%20folder/132%20-%20Gems%20inko.PDF" TargetMode="External"/><Relationship Id="rId2" Type="http://schemas.openxmlformats.org/officeDocument/2006/relationships/hyperlink" Target="../Documents/soft/New%20folder/132%20-%20Gems%20inko.PDF" TargetMode="External"/><Relationship Id="rId1" Type="http://schemas.openxmlformats.org/officeDocument/2006/relationships/hyperlink" Target="../Documents/soft/New%20folder/132%20-%20Sandra%20Jame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BB016-378E-41F8-A229-AE93C9EAFD41}">
  <sheetPr codeName="Sheet1"/>
  <dimension ref="B1:K22"/>
  <sheetViews>
    <sheetView showGridLines="0" topLeftCell="A2" workbookViewId="0">
      <selection activeCell="B5" sqref="B5:C5"/>
    </sheetView>
  </sheetViews>
  <sheetFormatPr defaultRowHeight="14.5" x14ac:dyDescent="0.35"/>
  <cols>
    <col min="1" max="1" width="0.26953125" customWidth="1"/>
    <col min="2" max="2" width="8.7265625" customWidth="1"/>
    <col min="3" max="3" width="11.7265625" customWidth="1"/>
    <col min="9" max="9" width="6.81640625" customWidth="1"/>
    <col min="11" max="11" width="8.7265625" customWidth="1"/>
  </cols>
  <sheetData>
    <row r="1" spans="2:11" ht="18" x14ac:dyDescent="0.5">
      <c r="B1" s="36" t="s">
        <v>0</v>
      </c>
      <c r="C1" s="36"/>
      <c r="D1" s="36"/>
      <c r="E1" s="36"/>
      <c r="F1" s="36"/>
      <c r="G1" s="36"/>
      <c r="H1" s="36"/>
      <c r="I1" s="36"/>
      <c r="J1" s="36"/>
      <c r="K1" s="36"/>
    </row>
    <row r="2" spans="2:11" ht="15.5" x14ac:dyDescent="0.45">
      <c r="C2" s="37" t="s">
        <v>18</v>
      </c>
      <c r="D2" s="37"/>
      <c r="E2" s="37"/>
      <c r="F2" s="37"/>
      <c r="G2" s="37"/>
      <c r="H2" s="37"/>
      <c r="I2" s="37"/>
    </row>
    <row r="3" spans="2:11" ht="15.5" x14ac:dyDescent="0.45">
      <c r="C3" s="1" t="s">
        <v>1</v>
      </c>
      <c r="D3" s="1"/>
      <c r="E3" s="1"/>
      <c r="F3" s="1"/>
      <c r="G3" s="1"/>
    </row>
    <row r="5" spans="2:11" x14ac:dyDescent="0.35">
      <c r="B5" s="30" t="s">
        <v>2</v>
      </c>
      <c r="C5" s="30"/>
      <c r="I5" t="s">
        <v>9</v>
      </c>
      <c r="J5" s="38"/>
      <c r="K5" s="39"/>
    </row>
    <row r="6" spans="2:11" ht="17" x14ac:dyDescent="0.5">
      <c r="B6" s="30" t="s">
        <v>3</v>
      </c>
      <c r="C6" s="30"/>
      <c r="E6" s="40" t="s">
        <v>17</v>
      </c>
      <c r="F6" s="40"/>
      <c r="G6" s="40"/>
    </row>
    <row r="7" spans="2:11" x14ac:dyDescent="0.35">
      <c r="B7" s="30" t="s">
        <v>4</v>
      </c>
      <c r="C7" s="30"/>
    </row>
    <row r="8" spans="2:11" x14ac:dyDescent="0.35">
      <c r="B8" s="30" t="s">
        <v>5</v>
      </c>
      <c r="C8" s="30"/>
    </row>
    <row r="10" spans="2:11" x14ac:dyDescent="0.35">
      <c r="B10" s="31" t="s">
        <v>10</v>
      </c>
      <c r="C10" s="31"/>
      <c r="I10" t="s">
        <v>8</v>
      </c>
      <c r="J10" s="4"/>
      <c r="K10" s="4"/>
    </row>
    <row r="12" spans="2:11" x14ac:dyDescent="0.35">
      <c r="B12" s="35" t="s">
        <v>12</v>
      </c>
      <c r="C12" s="35"/>
      <c r="D12" s="35"/>
      <c r="E12" s="35"/>
      <c r="F12" s="35"/>
      <c r="G12" s="35"/>
      <c r="H12" s="35"/>
      <c r="I12" s="35"/>
      <c r="J12" s="35"/>
      <c r="K12" s="35"/>
    </row>
    <row r="14" spans="2:11" x14ac:dyDescent="0.35">
      <c r="B14" s="34" t="s">
        <v>11</v>
      </c>
      <c r="C14" s="34"/>
      <c r="D14" s="34"/>
      <c r="E14" s="34"/>
      <c r="F14" s="34"/>
      <c r="G14" s="34"/>
      <c r="H14" s="34"/>
      <c r="I14" s="34"/>
      <c r="J14" s="34"/>
      <c r="K14" s="34"/>
    </row>
    <row r="15" spans="2:11" x14ac:dyDescent="0.35">
      <c r="B15" s="34" t="s">
        <v>13</v>
      </c>
      <c r="C15" s="34"/>
      <c r="D15" s="34"/>
      <c r="E15" s="34"/>
      <c r="F15" s="34"/>
      <c r="G15" s="34"/>
      <c r="H15" s="34"/>
      <c r="I15" s="34"/>
      <c r="J15" s="34"/>
      <c r="K15" s="34"/>
    </row>
    <row r="17" spans="2:11" x14ac:dyDescent="0.35">
      <c r="B17" s="34" t="s">
        <v>14</v>
      </c>
      <c r="C17" s="34"/>
      <c r="D17" s="34"/>
      <c r="E17" s="34"/>
      <c r="F17" s="34"/>
      <c r="G17" s="34"/>
      <c r="H17" s="34"/>
      <c r="I17" s="34"/>
      <c r="J17" s="34"/>
      <c r="K17" s="34"/>
    </row>
    <row r="19" spans="2:11" x14ac:dyDescent="0.35">
      <c r="B19" s="2" t="s">
        <v>6</v>
      </c>
      <c r="C19" s="3" t="s">
        <v>7</v>
      </c>
    </row>
    <row r="21" spans="2:11" x14ac:dyDescent="0.35">
      <c r="B21" s="34" t="s">
        <v>15</v>
      </c>
      <c r="C21" s="34"/>
      <c r="H21" s="33"/>
      <c r="I21" s="33"/>
      <c r="J21" s="33"/>
      <c r="K21" s="33"/>
    </row>
    <row r="22" spans="2:11" x14ac:dyDescent="0.35">
      <c r="H22" s="32" t="s">
        <v>16</v>
      </c>
      <c r="I22" s="32"/>
      <c r="J22" s="32"/>
    </row>
  </sheetData>
  <mergeCells count="16">
    <mergeCell ref="B1:K1"/>
    <mergeCell ref="C2:I2"/>
    <mergeCell ref="J5:K5"/>
    <mergeCell ref="B5:C5"/>
    <mergeCell ref="B6:C6"/>
    <mergeCell ref="E6:G6"/>
    <mergeCell ref="B7:C7"/>
    <mergeCell ref="B8:C8"/>
    <mergeCell ref="B10:C10"/>
    <mergeCell ref="H22:J22"/>
    <mergeCell ref="H21:K21"/>
    <mergeCell ref="B14:K14"/>
    <mergeCell ref="B12:K12"/>
    <mergeCell ref="B15:K15"/>
    <mergeCell ref="B17:K17"/>
    <mergeCell ref="B21:C21"/>
  </mergeCells>
  <printOptions horizontalCentered="1" verticalCentered="1"/>
  <pageMargins left="0.7" right="0.7" top="0.5" bottom="0.25" header="0.3" footer="0.3"/>
  <pageSetup paperSize="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E73A7-FC02-4B52-B7F4-FC0E8B4A67FB}">
  <sheetPr codeName="Sheet6"/>
  <dimension ref="A2:M30"/>
  <sheetViews>
    <sheetView showGridLines="0" tabSelected="1" zoomScale="80" zoomScaleNormal="80" workbookViewId="0">
      <selection activeCell="O23" sqref="O23"/>
    </sheetView>
  </sheetViews>
  <sheetFormatPr defaultRowHeight="14.5" x14ac:dyDescent="0.35"/>
  <cols>
    <col min="1" max="1" width="4" customWidth="1"/>
    <col min="2" max="2" width="34" customWidth="1"/>
    <col min="4" max="4" width="8.08984375" customWidth="1"/>
    <col min="5" max="5" width="10.7265625" customWidth="1"/>
    <col min="7" max="7" width="8.7265625" customWidth="1"/>
    <col min="8" max="8" width="10.08984375" bestFit="1" customWidth="1"/>
  </cols>
  <sheetData>
    <row r="2" spans="1:13" ht="15.5" x14ac:dyDescent="0.35">
      <c r="A2" s="45" t="s">
        <v>21</v>
      </c>
      <c r="B2" s="45"/>
      <c r="C2" s="6"/>
      <c r="D2" s="7"/>
      <c r="E2" s="8"/>
    </row>
    <row r="3" spans="1:13" ht="18.5" x14ac:dyDescent="0.45">
      <c r="A3" s="34" t="s">
        <v>20</v>
      </c>
      <c r="B3" s="34"/>
      <c r="C3" s="28" t="s">
        <v>23</v>
      </c>
      <c r="D3" s="4"/>
      <c r="E3" s="9"/>
      <c r="G3" s="34"/>
      <c r="H3" s="34"/>
    </row>
    <row r="4" spans="1:13" x14ac:dyDescent="0.35">
      <c r="A4" s="34" t="s">
        <v>22</v>
      </c>
      <c r="B4" s="34"/>
      <c r="C4" s="34"/>
    </row>
    <row r="7" spans="1:13" ht="22" x14ac:dyDescent="0.65">
      <c r="C7" s="43" t="s">
        <v>25</v>
      </c>
      <c r="D7" s="43"/>
      <c r="G7" s="43"/>
      <c r="H7" s="43"/>
    </row>
    <row r="8" spans="1:13" ht="22" x14ac:dyDescent="0.65">
      <c r="C8" s="43" t="s">
        <v>24</v>
      </c>
      <c r="D8" s="43"/>
      <c r="G8" s="43"/>
      <c r="H8" s="43"/>
    </row>
    <row r="9" spans="1:13" x14ac:dyDescent="0.35">
      <c r="A9" s="44" t="s">
        <v>26</v>
      </c>
      <c r="B9" s="44"/>
    </row>
    <row r="10" spans="1:13" x14ac:dyDescent="0.35">
      <c r="A10" s="34" t="s">
        <v>46</v>
      </c>
      <c r="B10" s="34"/>
    </row>
    <row r="11" spans="1:13" x14ac:dyDescent="0.35">
      <c r="A11" s="34" t="str">
        <f>_xlfn.IFNA(VLOOKUP($A$10,Sheet4!A:D,2),"")</f>
        <v>Address 1</v>
      </c>
      <c r="B11" s="34"/>
      <c r="D11" s="10" t="s">
        <v>28</v>
      </c>
      <c r="E11">
        <v>132</v>
      </c>
      <c r="F11" s="10"/>
      <c r="G11" s="5"/>
    </row>
    <row r="12" spans="1:13" x14ac:dyDescent="0.35">
      <c r="A12" s="34" t="str">
        <f>_xlfn.IFNA(VLOOKUP($A$10,Sheet4!A:D,1),"")</f>
        <v>Customer Name</v>
      </c>
      <c r="B12" s="34"/>
      <c r="C12" s="44" t="s">
        <v>31</v>
      </c>
      <c r="D12" s="44"/>
      <c r="E12" s="11">
        <f ca="1">TODAY()</f>
        <v>45808</v>
      </c>
      <c r="F12" s="10"/>
      <c r="G12" s="11"/>
      <c r="H12" s="11"/>
      <c r="M12" t="s">
        <v>52</v>
      </c>
    </row>
    <row r="13" spans="1:13" x14ac:dyDescent="0.35">
      <c r="A13" s="34" t="str">
        <f>_xlfn.IFNA(HLOOKUP($A$10,Sheet4!A:D,4),"")</f>
        <v>info@Dunes Ltd</v>
      </c>
      <c r="B13" s="34"/>
    </row>
    <row r="15" spans="1:13" x14ac:dyDescent="0.35">
      <c r="A15" s="12" t="s">
        <v>29</v>
      </c>
      <c r="B15" s="12" t="s">
        <v>30</v>
      </c>
      <c r="C15" s="12" t="s">
        <v>32</v>
      </c>
      <c r="D15" s="12"/>
      <c r="E15" s="12" t="s">
        <v>33</v>
      </c>
      <c r="F15" s="25"/>
      <c r="G15" s="25"/>
      <c r="H15" s="25"/>
    </row>
    <row r="16" spans="1:13" x14ac:dyDescent="0.35">
      <c r="A16" s="18">
        <v>9</v>
      </c>
      <c r="B16" s="19"/>
      <c r="C16" s="19">
        <v>40</v>
      </c>
      <c r="D16" s="19"/>
      <c r="E16" s="20">
        <f>IF(A16&lt;&gt;"",C16*A16,"")</f>
        <v>360</v>
      </c>
    </row>
    <row r="17" spans="1:8" x14ac:dyDescent="0.35">
      <c r="A17" s="21">
        <v>11</v>
      </c>
      <c r="B17" s="22"/>
      <c r="C17" s="22">
        <v>8</v>
      </c>
      <c r="D17" s="22"/>
      <c r="E17" s="20">
        <f t="shared" ref="E17:E24" si="0">IF(A17&lt;&gt;"",C17*A17,"")</f>
        <v>88</v>
      </c>
      <c r="H17" s="26"/>
    </row>
    <row r="18" spans="1:8" x14ac:dyDescent="0.35">
      <c r="A18" s="21">
        <v>5</v>
      </c>
      <c r="B18" s="22"/>
      <c r="C18" s="22">
        <v>70</v>
      </c>
      <c r="D18" s="22"/>
      <c r="E18" s="20">
        <f t="shared" si="0"/>
        <v>350</v>
      </c>
      <c r="H18" s="26"/>
    </row>
    <row r="19" spans="1:8" x14ac:dyDescent="0.35">
      <c r="A19" s="21"/>
      <c r="B19" s="22"/>
      <c r="C19" s="22"/>
      <c r="D19" s="22"/>
      <c r="E19" s="20" t="str">
        <f t="shared" si="0"/>
        <v/>
      </c>
      <c r="H19" s="26"/>
    </row>
    <row r="20" spans="1:8" x14ac:dyDescent="0.35">
      <c r="A20" s="21"/>
      <c r="B20" s="22"/>
      <c r="C20" s="22"/>
      <c r="D20" s="22"/>
      <c r="E20" s="20" t="str">
        <f t="shared" si="0"/>
        <v/>
      </c>
      <c r="H20" s="26" t="str">
        <f t="shared" ref="H20:H24" si="1">IF(A20&lt;&gt;"",A20*F20,"")</f>
        <v/>
      </c>
    </row>
    <row r="21" spans="1:8" x14ac:dyDescent="0.35">
      <c r="A21" s="21"/>
      <c r="B21" s="22"/>
      <c r="C21" s="22"/>
      <c r="D21" s="22"/>
      <c r="E21" s="20" t="str">
        <f t="shared" si="0"/>
        <v/>
      </c>
      <c r="H21" s="26" t="str">
        <f t="shared" si="1"/>
        <v/>
      </c>
    </row>
    <row r="22" spans="1:8" x14ac:dyDescent="0.35">
      <c r="A22" s="21"/>
      <c r="B22" s="22"/>
      <c r="C22" s="22"/>
      <c r="D22" s="22"/>
      <c r="E22" s="20" t="str">
        <f t="shared" si="0"/>
        <v/>
      </c>
      <c r="H22" s="26" t="str">
        <f t="shared" si="1"/>
        <v/>
      </c>
    </row>
    <row r="23" spans="1:8" x14ac:dyDescent="0.35">
      <c r="A23" s="21"/>
      <c r="B23" s="22"/>
      <c r="C23" s="22"/>
      <c r="D23" s="22"/>
      <c r="E23" s="20" t="str">
        <f t="shared" si="0"/>
        <v/>
      </c>
      <c r="H23" s="26" t="str">
        <f t="shared" si="1"/>
        <v/>
      </c>
    </row>
    <row r="24" spans="1:8" x14ac:dyDescent="0.35">
      <c r="A24" s="23"/>
      <c r="B24" s="24"/>
      <c r="C24" s="24"/>
      <c r="D24" s="24"/>
      <c r="E24" s="20" t="str">
        <f t="shared" si="0"/>
        <v/>
      </c>
      <c r="H24" s="26" t="str">
        <f t="shared" si="1"/>
        <v/>
      </c>
    </row>
    <row r="25" spans="1:8" x14ac:dyDescent="0.35">
      <c r="F25" s="5"/>
      <c r="H25" s="13"/>
    </row>
    <row r="26" spans="1:8" x14ac:dyDescent="0.35">
      <c r="C26" s="5" t="s">
        <v>34</v>
      </c>
      <c r="E26" s="27">
        <f>SUM(E16:E24)</f>
        <v>798</v>
      </c>
    </row>
    <row r="27" spans="1:8" x14ac:dyDescent="0.35">
      <c r="F27" s="41"/>
      <c r="G27" s="41"/>
      <c r="H27" s="13"/>
    </row>
    <row r="28" spans="1:8" ht="14.5" customHeight="1" x14ac:dyDescent="0.35">
      <c r="C28" s="5" t="s">
        <v>35</v>
      </c>
      <c r="E28" s="27">
        <f>E26*5%</f>
        <v>39.900000000000006</v>
      </c>
    </row>
    <row r="29" spans="1:8" ht="15" thickBot="1" x14ac:dyDescent="0.4">
      <c r="C29" s="5"/>
      <c r="E29" s="27"/>
      <c r="F29" s="35"/>
      <c r="G29" s="35"/>
      <c r="H29" s="29"/>
    </row>
    <row r="30" spans="1:8" ht="15" thickBot="1" x14ac:dyDescent="0.4">
      <c r="C30" s="42" t="s">
        <v>36</v>
      </c>
      <c r="D30" s="42"/>
      <c r="E30" s="14">
        <f>E26+E28</f>
        <v>837.9</v>
      </c>
    </row>
  </sheetData>
  <mergeCells count="17">
    <mergeCell ref="A2:B2"/>
    <mergeCell ref="A3:B3"/>
    <mergeCell ref="G3:H3"/>
    <mergeCell ref="A4:C4"/>
    <mergeCell ref="C7:D7"/>
    <mergeCell ref="G7:H7"/>
    <mergeCell ref="A13:B13"/>
    <mergeCell ref="F27:G27"/>
    <mergeCell ref="F29:G29"/>
    <mergeCell ref="C30:D30"/>
    <mergeCell ref="C8:D8"/>
    <mergeCell ref="G8:H8"/>
    <mergeCell ref="A9:B9"/>
    <mergeCell ref="A10:B10"/>
    <mergeCell ref="A11:B11"/>
    <mergeCell ref="A12:B12"/>
    <mergeCell ref="C12:D12"/>
  </mergeCells>
  <pageMargins left="1.5" right="1" top="2" bottom="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autoFill="0" autoPict="0" macro="[0]!CreateNewReceipt">
                <anchor moveWithCells="1" sizeWithCells="1">
                  <from>
                    <xdr:col>6</xdr:col>
                    <xdr:colOff>241300</xdr:colOff>
                    <xdr:row>6</xdr:row>
                    <xdr:rowOff>215900</xdr:rowOff>
                  </from>
                  <to>
                    <xdr:col>8</xdr:col>
                    <xdr:colOff>584200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autoFill="0" autoPict="0" macro="[0]!SaveRepAsExcel">
                <anchor moveWithCells="1" sizeWithCells="1">
                  <from>
                    <xdr:col>6</xdr:col>
                    <xdr:colOff>241300</xdr:colOff>
                    <xdr:row>9</xdr:row>
                    <xdr:rowOff>127000</xdr:rowOff>
                  </from>
                  <to>
                    <xdr:col>8</xdr:col>
                    <xdr:colOff>584200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autoFill="0" autoPict="0" macro="[0]!saveAsPDF">
                <anchor moveWithCells="1" sizeWithCells="1">
                  <from>
                    <xdr:col>6</xdr:col>
                    <xdr:colOff>241300</xdr:colOff>
                    <xdr:row>13</xdr:row>
                    <xdr:rowOff>50800</xdr:rowOff>
                  </from>
                  <to>
                    <xdr:col>8</xdr:col>
                    <xdr:colOff>584200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autoFill="0" autoPict="0" macro="[0]!RecordOfReceipt">
                <anchor moveWithCells="1" sizeWithCells="1">
                  <from>
                    <xdr:col>6</xdr:col>
                    <xdr:colOff>241300</xdr:colOff>
                    <xdr:row>3</xdr:row>
                    <xdr:rowOff>107950</xdr:rowOff>
                  </from>
                  <to>
                    <xdr:col>8</xdr:col>
                    <xdr:colOff>584200</xdr:colOff>
                    <xdr:row>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8" name="Button 10">
              <controlPr defaultSize="0" autoFill="0" autoPict="0" macro="[0]!EmailAsPdf">
                <anchor moveWithCells="1" sizeWithCells="1">
                  <from>
                    <xdr:col>6</xdr:col>
                    <xdr:colOff>234950</xdr:colOff>
                    <xdr:row>16</xdr:row>
                    <xdr:rowOff>152400</xdr:rowOff>
                  </from>
                  <to>
                    <xdr:col>8</xdr:col>
                    <xdr:colOff>571500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9BA81A-083F-437C-9C64-66D0EF3B2316}">
          <x14:formula1>
            <xm:f>Sheet4!$A$2:$A$1048576</xm:f>
          </x14:formula1>
          <xm:sqref>A10 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53F78-CA1E-4251-B9FE-467BB50DDDA8}">
  <sheetPr codeName="Sheet4"/>
  <dimension ref="A1:D7"/>
  <sheetViews>
    <sheetView workbookViewId="0">
      <selection activeCell="C7" sqref="C7"/>
    </sheetView>
  </sheetViews>
  <sheetFormatPr defaultRowHeight="14.5" x14ac:dyDescent="0.35"/>
  <cols>
    <col min="1" max="1" width="15.54296875" customWidth="1"/>
    <col min="2" max="2" width="15.90625" customWidth="1"/>
    <col min="3" max="3" width="17.81640625" customWidth="1"/>
    <col min="4" max="4" width="14.1796875" customWidth="1"/>
  </cols>
  <sheetData>
    <row r="1" spans="1:4" x14ac:dyDescent="0.35">
      <c r="A1" s="15" t="s">
        <v>27</v>
      </c>
      <c r="B1" s="15" t="s">
        <v>48</v>
      </c>
      <c r="C1" s="15" t="s">
        <v>37</v>
      </c>
      <c r="D1" s="15" t="s">
        <v>38</v>
      </c>
    </row>
    <row r="2" spans="1:4" x14ac:dyDescent="0.35">
      <c r="A2" t="s">
        <v>45</v>
      </c>
      <c r="B2" t="s">
        <v>39</v>
      </c>
      <c r="C2" t="s">
        <v>49</v>
      </c>
      <c r="D2" s="16" t="s">
        <v>42</v>
      </c>
    </row>
    <row r="3" spans="1:4" x14ac:dyDescent="0.35">
      <c r="A3" t="s">
        <v>46</v>
      </c>
      <c r="B3" t="s">
        <v>40</v>
      </c>
      <c r="C3" t="s">
        <v>50</v>
      </c>
      <c r="D3" s="16" t="s">
        <v>44</v>
      </c>
    </row>
    <row r="4" spans="1:4" x14ac:dyDescent="0.35">
      <c r="A4" t="s">
        <v>47</v>
      </c>
      <c r="B4" t="s">
        <v>41</v>
      </c>
      <c r="C4" t="s">
        <v>51</v>
      </c>
      <c r="D4" s="16" t="s">
        <v>43</v>
      </c>
    </row>
    <row r="7" spans="1:4" x14ac:dyDescent="0.35">
      <c r="C7" t="s">
        <v>52</v>
      </c>
    </row>
  </sheetData>
  <phoneticPr fontId="15" type="noConversion"/>
  <hyperlinks>
    <hyperlink ref="D2" r:id="rId1" xr:uid="{571E12DA-43DF-41FF-A8F9-6E5A2FF0723D}"/>
    <hyperlink ref="D4" r:id="rId2" xr:uid="{A40F6DEB-F733-4C50-B903-705ABBFC4CED}"/>
    <hyperlink ref="D3" r:id="rId3" xr:uid="{60EDB6BB-3387-438A-A158-0653DC4BD8B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775B2-E5C3-4004-81E7-3F2488789122}">
  <sheetPr codeName="Sheet5"/>
  <dimension ref="A1:I8"/>
  <sheetViews>
    <sheetView workbookViewId="0">
      <selection activeCell="D11" sqref="D11"/>
    </sheetView>
  </sheetViews>
  <sheetFormatPr defaultRowHeight="14.5" x14ac:dyDescent="0.35"/>
  <cols>
    <col min="1" max="1" width="9.7265625" bestFit="1" customWidth="1"/>
    <col min="2" max="2" width="11.08984375" customWidth="1"/>
    <col min="3" max="3" width="11.6328125" customWidth="1"/>
    <col min="4" max="4" width="9.453125" customWidth="1"/>
    <col min="5" max="5" width="7.54296875" customWidth="1"/>
    <col min="6" max="6" width="54" customWidth="1"/>
    <col min="7" max="7" width="9.90625" customWidth="1"/>
    <col min="9" max="9" width="11.26953125" customWidth="1"/>
  </cols>
  <sheetData>
    <row r="1" spans="1:9" x14ac:dyDescent="0.35">
      <c r="A1" s="15" t="s">
        <v>19</v>
      </c>
      <c r="B1" s="15" t="s">
        <v>27</v>
      </c>
      <c r="C1" s="15" t="s">
        <v>53</v>
      </c>
      <c r="D1" s="15" t="s">
        <v>33</v>
      </c>
      <c r="E1" s="15" t="s">
        <v>54</v>
      </c>
      <c r="F1" s="15" t="s">
        <v>56</v>
      </c>
      <c r="G1" s="15" t="s">
        <v>55</v>
      </c>
      <c r="H1" s="15" t="s">
        <v>57</v>
      </c>
      <c r="I1" s="15" t="s">
        <v>58</v>
      </c>
    </row>
    <row r="2" spans="1:9" x14ac:dyDescent="0.35">
      <c r="A2">
        <v>132</v>
      </c>
      <c r="B2" t="s">
        <v>45</v>
      </c>
      <c r="C2" s="11">
        <v>45667</v>
      </c>
      <c r="D2" s="17">
        <v>627.9</v>
      </c>
    </row>
    <row r="3" spans="1:9" x14ac:dyDescent="0.35">
      <c r="A3" s="16">
        <v>132</v>
      </c>
      <c r="B3" t="s">
        <v>47</v>
      </c>
      <c r="C3" s="11">
        <v>45667</v>
      </c>
      <c r="D3" s="17">
        <v>837.9</v>
      </c>
      <c r="F3" s="16" t="s">
        <v>59</v>
      </c>
    </row>
    <row r="4" spans="1:9" x14ac:dyDescent="0.35">
      <c r="A4" s="16">
        <v>132</v>
      </c>
      <c r="B4" t="s">
        <v>46</v>
      </c>
      <c r="C4" s="11">
        <v>45667</v>
      </c>
      <c r="D4" s="17">
        <v>837.9</v>
      </c>
      <c r="G4" s="16" t="s">
        <v>60</v>
      </c>
    </row>
    <row r="5" spans="1:9" x14ac:dyDescent="0.35">
      <c r="A5">
        <v>132</v>
      </c>
      <c r="B5" t="s">
        <v>46</v>
      </c>
      <c r="C5" s="11">
        <v>45808</v>
      </c>
      <c r="D5" s="17">
        <v>837.9</v>
      </c>
      <c r="F5" s="16"/>
      <c r="G5" s="16" t="s">
        <v>60</v>
      </c>
    </row>
    <row r="6" spans="1:9" x14ac:dyDescent="0.35">
      <c r="A6" s="16">
        <v>132</v>
      </c>
      <c r="B6" t="s">
        <v>46</v>
      </c>
      <c r="C6" s="11">
        <v>45808</v>
      </c>
      <c r="D6" s="17">
        <v>837.9</v>
      </c>
      <c r="F6" s="16"/>
    </row>
    <row r="7" spans="1:9" x14ac:dyDescent="0.35">
      <c r="A7" s="16">
        <v>231</v>
      </c>
      <c r="B7" t="s">
        <v>45</v>
      </c>
      <c r="C7" s="11">
        <v>45808</v>
      </c>
      <c r="D7" s="17">
        <v>2058</v>
      </c>
      <c r="G7" s="16"/>
    </row>
    <row r="8" spans="1:9" x14ac:dyDescent="0.35">
      <c r="A8">
        <v>231</v>
      </c>
      <c r="B8" t="s">
        <v>45</v>
      </c>
      <c r="C8" s="11">
        <v>45808</v>
      </c>
      <c r="D8" s="17">
        <v>2058</v>
      </c>
    </row>
  </sheetData>
  <dataValidations count="1">
    <dataValidation type="list" allowBlank="1" showInputMessage="1" showErrorMessage="1" sqref="E2:E1048576" xr:uid="{DF022D3C-FBCC-4F06-995B-C374BF6BBCA0}">
      <formula1>"Yes"</formula1>
    </dataValidation>
  </dataValidations>
  <hyperlinks>
    <hyperlink ref="F3" r:id="rId1" display="../Documents/soft/New folder/132 - Sandra Jame.xlsx" xr:uid="{91B70279-6EBD-40F1-A676-C0660A7D0ACD}"/>
    <hyperlink ref="G4" r:id="rId2" display="../Documents/soft/New folder/132 - Gems inko.PDF" xr:uid="{122D813B-1B1B-42F7-88C5-CD7BDD833EF5}"/>
    <hyperlink ref="G5" r:id="rId3" display="../Documents/soft/New folder/132 - Gems inko.PDF" xr:uid="{FEA59E24-1BF6-4F0F-8B1C-41F354545E5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Sheet3 (2)</vt:lpstr>
      <vt:lpstr>Sheet4</vt:lpstr>
      <vt:lpstr>Record of Receipt</vt:lpstr>
      <vt:lpstr>Sheet1!Print_Area</vt:lpstr>
      <vt:lpstr>'Sheet3 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Favour Emmanuel</dc:creator>
  <cp:lastModifiedBy>Favour Emmanuel</cp:lastModifiedBy>
  <cp:lastPrinted>2025-05-31T22:22:17Z</cp:lastPrinted>
  <dcterms:created xsi:type="dcterms:W3CDTF">2025-01-05T14:20:23Z</dcterms:created>
  <dcterms:modified xsi:type="dcterms:W3CDTF">2025-05-31T22:25:00Z</dcterms:modified>
</cp:coreProperties>
</file>